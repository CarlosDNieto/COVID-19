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COVID19\"/>
    </mc:Choice>
  </mc:AlternateContent>
  <xr:revisionPtr revIDLastSave="0" documentId="13_ncr:40009_{207CBE7A-D45F-4E25-8513-155000A16CC7}" xr6:coauthVersionLast="44" xr6:coauthVersionMax="44" xr10:uidLastSave="{00000000-0000-0000-0000-000000000000}"/>
  <bookViews>
    <workbookView xWindow="-120" yWindow="-120" windowWidth="20730" windowHeight="11160" activeTab="1"/>
  </bookViews>
  <sheets>
    <sheet name="mexico" sheetId="1" r:id="rId1"/>
    <sheet name="Pronósticos" sheetId="2" r:id="rId2"/>
  </sheets>
  <definedNames>
    <definedName name="_xlnm._FilterDatabase" localSheetId="0" hidden="1">mexico!$A$1:$O$18</definedName>
    <definedName name="solver_adj" localSheetId="1" hidden="1">Pronósticos!$L$1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Pronósticos!$G$21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0"/>
</workbook>
</file>

<file path=xl/calcChain.xml><?xml version="1.0" encoding="utf-8"?>
<calcChain xmlns="http://schemas.openxmlformats.org/spreadsheetml/2006/main">
  <c r="F3" i="2" l="1"/>
  <c r="E3" i="2"/>
  <c r="D3" i="2"/>
  <c r="G21" i="2"/>
  <c r="F28" i="2"/>
  <c r="F29" i="2"/>
  <c r="F32" i="2"/>
  <c r="F33" i="2"/>
  <c r="F36" i="2"/>
  <c r="F37" i="2"/>
  <c r="F40" i="2"/>
  <c r="F41" i="2"/>
  <c r="F44" i="2"/>
  <c r="F45" i="2"/>
  <c r="F48" i="2"/>
  <c r="F49" i="2"/>
  <c r="F52" i="2"/>
  <c r="F53" i="2"/>
  <c r="F5" i="2"/>
  <c r="F2" i="2"/>
  <c r="F26" i="2" s="1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25" i="2"/>
  <c r="G2" i="2"/>
  <c r="G5" i="2"/>
  <c r="F9" i="2"/>
  <c r="G9" i="2" s="1"/>
  <c r="F13" i="2"/>
  <c r="G13" i="2" s="1"/>
  <c r="F17" i="2"/>
  <c r="G17" i="2" s="1"/>
  <c r="A3" i="2"/>
  <c r="A4" i="2"/>
  <c r="F4" i="2" s="1"/>
  <c r="G4" i="2" s="1"/>
  <c r="A5" i="2"/>
  <c r="A6" i="2"/>
  <c r="F6" i="2" s="1"/>
  <c r="G6" i="2" s="1"/>
  <c r="A7" i="2"/>
  <c r="F7" i="2" s="1"/>
  <c r="G7" i="2" s="1"/>
  <c r="A8" i="2"/>
  <c r="F8" i="2" s="1"/>
  <c r="G8" i="2" s="1"/>
  <c r="A9" i="2"/>
  <c r="A10" i="2"/>
  <c r="F10" i="2" s="1"/>
  <c r="G10" i="2" s="1"/>
  <c r="A11" i="2"/>
  <c r="F11" i="2" s="1"/>
  <c r="G11" i="2" s="1"/>
  <c r="A12" i="2"/>
  <c r="F12" i="2" s="1"/>
  <c r="G12" i="2" s="1"/>
  <c r="A13" i="2"/>
  <c r="A14" i="2"/>
  <c r="F14" i="2" s="1"/>
  <c r="G14" i="2" s="1"/>
  <c r="A15" i="2"/>
  <c r="F15" i="2" s="1"/>
  <c r="G15" i="2" s="1"/>
  <c r="A16" i="2"/>
  <c r="F16" i="2" s="1"/>
  <c r="G16" i="2" s="1"/>
  <c r="A17" i="2"/>
  <c r="A18" i="2"/>
  <c r="F18" i="2" s="1"/>
  <c r="G18" i="2" s="1"/>
  <c r="A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L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F25" i="2" l="1"/>
  <c r="F51" i="2"/>
  <c r="F47" i="2"/>
  <c r="F43" i="2"/>
  <c r="F39" i="2"/>
  <c r="F35" i="2"/>
  <c r="F31" i="2"/>
  <c r="F27" i="2"/>
  <c r="G3" i="2"/>
  <c r="F54" i="2"/>
  <c r="F50" i="2"/>
  <c r="F46" i="2"/>
  <c r="F42" i="2"/>
  <c r="F38" i="2"/>
  <c r="F34" i="2"/>
  <c r="F30" i="2"/>
</calcChain>
</file>

<file path=xl/sharedStrings.xml><?xml version="1.0" encoding="utf-8"?>
<sst xmlns="http://schemas.openxmlformats.org/spreadsheetml/2006/main" count="31" uniqueCount="26">
  <si>
    <t>Last Update</t>
  </si>
  <si>
    <t>Latitude</t>
  </si>
  <si>
    <t>Longitude</t>
  </si>
  <si>
    <t>Confirmed</t>
  </si>
  <si>
    <t>Deaths</t>
  </si>
  <si>
    <t>Recovered</t>
  </si>
  <si>
    <t>Mortality Rate</t>
  </si>
  <si>
    <t>Dif Confirmed</t>
  </si>
  <si>
    <t>Dif Confirmed%</t>
  </si>
  <si>
    <t>Dif Deaths</t>
  </si>
  <si>
    <t>Dif Deaths%</t>
  </si>
  <si>
    <t>Dif Recovered</t>
  </si>
  <si>
    <t>Dif Recovered%</t>
  </si>
  <si>
    <t>Factor Confirmed</t>
  </si>
  <si>
    <t>Factor Deaths</t>
  </si>
  <si>
    <t>inf</t>
  </si>
  <si>
    <t>dia</t>
  </si>
  <si>
    <t>delta</t>
  </si>
  <si>
    <t>factor</t>
  </si>
  <si>
    <t>media factor</t>
  </si>
  <si>
    <t>mediana Factor</t>
  </si>
  <si>
    <t>Pronósticos</t>
  </si>
  <si>
    <t>Estimados</t>
  </si>
  <si>
    <t>Reales</t>
  </si>
  <si>
    <t>Error</t>
  </si>
  <si>
    <t>Error estándar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</si>
</sst>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8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" fontId="0" fillId="0" borderId="0" xfId="0" applyNumberFormat="1"/>
    <xf numFmtId="168" fontId="0" fillId="33" borderId="0" xfId="1" applyNumberFormat="1" applyFont="1" applyFill="1"/>
    <xf numFmtId="0" fontId="16" fillId="0" borderId="0" xfId="0" applyFont="1" applyAlignment="1">
      <alignment wrapText="1"/>
    </xf>
    <xf numFmtId="0" fontId="0" fillId="34" borderId="0" xfId="0" applyFill="1" applyAlignment="1">
      <alignment wrapText="1"/>
    </xf>
    <xf numFmtId="0" fontId="0" fillId="34" borderId="0" xfId="0" applyFill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Pronósticos!$C$1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Pronósticos!$B$2:$B$18</c:f>
              <c:numCache>
                <c:formatCode>m/d/yyyy</c:formatCode>
                <c:ptCount val="17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</c:numCache>
            </c:numRef>
          </c:cat>
          <c:val>
            <c:numRef>
              <c:f>Pronósticos!$C$2:$C$18</c:f>
              <c:numCache>
                <c:formatCode>General</c:formatCode>
                <c:ptCount val="17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F-4B71-B3F9-C59CBBF61999}"/>
            </c:ext>
          </c:extLst>
        </c:ser>
        <c:ser>
          <c:idx val="1"/>
          <c:order val="1"/>
          <c:tx>
            <c:strRef>
              <c:f>Pronósticos!$F$1</c:f>
              <c:strCache>
                <c:ptCount val="1"/>
                <c:pt idx="0">
                  <c:v>Estimados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Pronósticos!$B$2:$B$18</c:f>
              <c:numCache>
                <c:formatCode>m/d/yyyy</c:formatCode>
                <c:ptCount val="17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</c:numCache>
            </c:numRef>
          </c:cat>
          <c:val>
            <c:numRef>
              <c:f>Pronósticos!$F$2:$F$18</c:f>
              <c:numCache>
                <c:formatCode>General</c:formatCode>
                <c:ptCount val="17"/>
                <c:pt idx="0">
                  <c:v>1</c:v>
                </c:pt>
                <c:pt idx="1">
                  <c:v>1.5781190881798868</c:v>
                </c:pt>
                <c:pt idx="2">
                  <c:v>1.9824838556349524</c:v>
                </c:pt>
                <c:pt idx="3">
                  <c:v>3.128595614585977</c:v>
                </c:pt>
                <c:pt idx="4">
                  <c:v>6.2023902967270113</c:v>
                </c:pt>
                <c:pt idx="5">
                  <c:v>9.7881105196066081</c:v>
                </c:pt>
                <c:pt idx="6">
                  <c:v>15.446804048205538</c:v>
                </c:pt>
                <c:pt idx="7">
                  <c:v>19.404771082290743</c:v>
                </c:pt>
                <c:pt idx="8">
                  <c:v>24.376896319847507</c:v>
                </c:pt>
                <c:pt idx="9">
                  <c:v>30.623039646724106</c:v>
                </c:pt>
                <c:pt idx="10">
                  <c:v>38.46964539293338</c:v>
                </c:pt>
                <c:pt idx="11">
                  <c:v>48.326803404584759</c:v>
                </c:pt>
                <c:pt idx="12">
                  <c:v>60.709681710099609</c:v>
                </c:pt>
                <c:pt idx="13">
                  <c:v>76.265450923491954</c:v>
                </c:pt>
                <c:pt idx="14">
                  <c:v>95.807107544033542</c:v>
                </c:pt>
                <c:pt idx="15">
                  <c:v>120.35596387100901</c:v>
                </c:pt>
                <c:pt idx="16">
                  <c:v>151.19502519854257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F-4B71-B3F9-C59CBBF6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184897</xdr:colOff>
      <xdr:row>3</xdr:row>
      <xdr:rowOff>68355</xdr:rowOff>
    </xdr:from>
    <xdr:to>
      <xdr:col>16</xdr:col>
      <xdr:colOff>56030</xdr:colOff>
      <xdr:row>20</xdr:row>
      <xdr:rowOff>235323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3F2B4E-ACD1-4F8C-804F-A0736BB2C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8"/>
  <sheetViews>
    <sheetView workbookViewId="0">
      <selection activeCellId="1" sqref="D1:D1048576 A1:A1048576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43889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</row>
    <row r="3" spans="1:15" x14ac:dyDescent="0.25">
      <c r="A3" s="1">
        <v>43890</v>
      </c>
      <c r="B3">
        <v>0</v>
      </c>
      <c r="C3">
        <v>0</v>
      </c>
      <c r="D3">
        <v>4</v>
      </c>
      <c r="E3">
        <v>0</v>
      </c>
      <c r="F3">
        <v>0</v>
      </c>
      <c r="G3">
        <v>0</v>
      </c>
      <c r="H3">
        <v>3</v>
      </c>
      <c r="I3">
        <v>3</v>
      </c>
      <c r="J3">
        <v>0</v>
      </c>
      <c r="L3">
        <v>0</v>
      </c>
      <c r="N3">
        <v>4</v>
      </c>
    </row>
    <row r="4" spans="1:15" x14ac:dyDescent="0.25">
      <c r="A4" s="1">
        <v>43891</v>
      </c>
      <c r="B4">
        <v>23</v>
      </c>
      <c r="C4">
        <v>-102</v>
      </c>
      <c r="D4">
        <v>5</v>
      </c>
      <c r="E4">
        <v>0</v>
      </c>
      <c r="F4">
        <v>0</v>
      </c>
      <c r="G4">
        <v>0</v>
      </c>
      <c r="H4">
        <v>1</v>
      </c>
      <c r="I4">
        <v>0.25</v>
      </c>
      <c r="J4">
        <v>0</v>
      </c>
      <c r="L4">
        <v>0</v>
      </c>
      <c r="N4">
        <v>1.25</v>
      </c>
    </row>
    <row r="5" spans="1:15" x14ac:dyDescent="0.25">
      <c r="A5" s="1">
        <v>43893</v>
      </c>
      <c r="B5">
        <v>23</v>
      </c>
      <c r="C5">
        <v>-102</v>
      </c>
      <c r="D5">
        <v>5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15</v>
      </c>
      <c r="N5">
        <v>1</v>
      </c>
    </row>
    <row r="6" spans="1:15" x14ac:dyDescent="0.25">
      <c r="A6" s="1">
        <v>43896</v>
      </c>
      <c r="B6">
        <v>23</v>
      </c>
      <c r="C6">
        <v>-102</v>
      </c>
      <c r="D6">
        <v>6</v>
      </c>
      <c r="E6">
        <v>0</v>
      </c>
      <c r="F6">
        <v>1</v>
      </c>
      <c r="G6">
        <v>0</v>
      </c>
      <c r="H6">
        <v>1</v>
      </c>
      <c r="I6">
        <v>0.19999999999999901</v>
      </c>
      <c r="J6">
        <v>0</v>
      </c>
      <c r="L6">
        <v>0</v>
      </c>
      <c r="M6">
        <v>0</v>
      </c>
      <c r="N6">
        <v>1.2</v>
      </c>
    </row>
    <row r="7" spans="1:15" x14ac:dyDescent="0.25">
      <c r="A7" s="1">
        <v>43898</v>
      </c>
      <c r="B7">
        <v>23</v>
      </c>
      <c r="C7">
        <v>-102</v>
      </c>
      <c r="D7">
        <v>7</v>
      </c>
      <c r="E7">
        <v>0</v>
      </c>
      <c r="F7">
        <v>1</v>
      </c>
      <c r="G7">
        <v>0</v>
      </c>
      <c r="H7">
        <v>1</v>
      </c>
      <c r="I7">
        <v>0.16666666666666599</v>
      </c>
      <c r="J7">
        <v>0</v>
      </c>
      <c r="L7">
        <v>0</v>
      </c>
      <c r="M7">
        <v>0</v>
      </c>
      <c r="N7">
        <v>1.1666666666666601</v>
      </c>
    </row>
    <row r="8" spans="1:15" x14ac:dyDescent="0.25">
      <c r="A8" s="1">
        <v>43900</v>
      </c>
      <c r="B8">
        <v>23</v>
      </c>
      <c r="C8">
        <v>-102</v>
      </c>
      <c r="D8">
        <v>7</v>
      </c>
      <c r="E8">
        <v>0</v>
      </c>
      <c r="F8">
        <v>4</v>
      </c>
      <c r="G8">
        <v>0</v>
      </c>
      <c r="H8">
        <v>0</v>
      </c>
      <c r="I8">
        <v>0</v>
      </c>
      <c r="J8">
        <v>0</v>
      </c>
      <c r="L8">
        <v>3</v>
      </c>
      <c r="M8">
        <v>3</v>
      </c>
      <c r="N8">
        <v>1</v>
      </c>
    </row>
    <row r="9" spans="1:15" x14ac:dyDescent="0.25">
      <c r="A9" s="1">
        <v>43901</v>
      </c>
      <c r="B9">
        <v>23</v>
      </c>
      <c r="C9">
        <v>-102</v>
      </c>
      <c r="D9">
        <v>8</v>
      </c>
      <c r="E9">
        <v>0</v>
      </c>
      <c r="F9">
        <v>4</v>
      </c>
      <c r="G9">
        <v>0</v>
      </c>
      <c r="H9">
        <v>1</v>
      </c>
      <c r="I9">
        <v>0.14285714285714199</v>
      </c>
      <c r="J9">
        <v>0</v>
      </c>
      <c r="L9">
        <v>0</v>
      </c>
      <c r="M9">
        <v>0</v>
      </c>
      <c r="N9">
        <v>1.1428571428571399</v>
      </c>
    </row>
    <row r="10" spans="1:15" x14ac:dyDescent="0.25">
      <c r="A10" s="1">
        <v>43902</v>
      </c>
      <c r="B10">
        <v>23</v>
      </c>
      <c r="C10">
        <v>-102</v>
      </c>
      <c r="D10">
        <v>12</v>
      </c>
      <c r="E10">
        <v>0</v>
      </c>
      <c r="F10">
        <v>4</v>
      </c>
      <c r="G10">
        <v>0</v>
      </c>
      <c r="H10">
        <v>4</v>
      </c>
      <c r="I10">
        <v>0.5</v>
      </c>
      <c r="J10">
        <v>0</v>
      </c>
      <c r="L10">
        <v>0</v>
      </c>
      <c r="M10">
        <v>0</v>
      </c>
      <c r="N10">
        <v>1.5</v>
      </c>
    </row>
    <row r="11" spans="1:15" x14ac:dyDescent="0.25">
      <c r="A11" s="1">
        <v>43903</v>
      </c>
      <c r="B11">
        <v>23.634499999999999</v>
      </c>
      <c r="C11">
        <v>-102.5528</v>
      </c>
      <c r="D11">
        <v>12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1</v>
      </c>
    </row>
    <row r="12" spans="1:15" x14ac:dyDescent="0.25">
      <c r="A12" s="1">
        <v>43904</v>
      </c>
      <c r="B12">
        <v>23.634499999999999</v>
      </c>
      <c r="C12">
        <v>-102.5528</v>
      </c>
      <c r="D12">
        <v>26</v>
      </c>
      <c r="E12">
        <v>0</v>
      </c>
      <c r="F12">
        <v>4</v>
      </c>
      <c r="G12">
        <v>0</v>
      </c>
      <c r="H12">
        <v>14</v>
      </c>
      <c r="I12">
        <v>1.1666666666666601</v>
      </c>
      <c r="J12">
        <v>0</v>
      </c>
      <c r="L12">
        <v>0</v>
      </c>
      <c r="M12">
        <v>0</v>
      </c>
      <c r="N12">
        <v>2.1666666666666599</v>
      </c>
    </row>
    <row r="13" spans="1:15" x14ac:dyDescent="0.25">
      <c r="A13" s="1">
        <v>43905</v>
      </c>
      <c r="B13">
        <v>23.634499999999999</v>
      </c>
      <c r="C13">
        <v>-102.5528</v>
      </c>
      <c r="D13">
        <v>41</v>
      </c>
      <c r="E13">
        <v>0</v>
      </c>
      <c r="F13">
        <v>4</v>
      </c>
      <c r="G13">
        <v>0</v>
      </c>
      <c r="H13">
        <v>15</v>
      </c>
      <c r="I13">
        <v>0.57692307692307598</v>
      </c>
      <c r="J13">
        <v>0</v>
      </c>
      <c r="L13">
        <v>0</v>
      </c>
      <c r="M13">
        <v>0</v>
      </c>
      <c r="N13">
        <v>1.57692307692307</v>
      </c>
    </row>
    <row r="14" spans="1:15" x14ac:dyDescent="0.25">
      <c r="A14" s="1">
        <v>43906</v>
      </c>
      <c r="B14">
        <v>23.634499999999999</v>
      </c>
      <c r="C14">
        <v>-102.5528</v>
      </c>
      <c r="D14">
        <v>53</v>
      </c>
      <c r="E14">
        <v>0</v>
      </c>
      <c r="F14">
        <v>4</v>
      </c>
      <c r="G14">
        <v>0</v>
      </c>
      <c r="H14">
        <v>12</v>
      </c>
      <c r="I14">
        <v>0.292682926829268</v>
      </c>
      <c r="J14">
        <v>0</v>
      </c>
      <c r="L14">
        <v>0</v>
      </c>
      <c r="M14">
        <v>0</v>
      </c>
      <c r="N14">
        <v>1.2926829268292599</v>
      </c>
    </row>
    <row r="15" spans="1:15" x14ac:dyDescent="0.25">
      <c r="A15" s="1">
        <v>43907</v>
      </c>
      <c r="B15">
        <v>23.634499999999999</v>
      </c>
      <c r="C15">
        <v>-102.5528</v>
      </c>
      <c r="D15">
        <v>82</v>
      </c>
      <c r="E15">
        <v>0</v>
      </c>
      <c r="F15">
        <v>4</v>
      </c>
      <c r="G15">
        <v>0</v>
      </c>
      <c r="H15">
        <v>29</v>
      </c>
      <c r="I15">
        <v>0.54716981132075404</v>
      </c>
      <c r="J15">
        <v>0</v>
      </c>
      <c r="L15">
        <v>0</v>
      </c>
      <c r="M15">
        <v>0</v>
      </c>
      <c r="N15">
        <v>1.5471698113207499</v>
      </c>
    </row>
    <row r="16" spans="1:15" x14ac:dyDescent="0.25">
      <c r="A16" s="1">
        <v>43908</v>
      </c>
      <c r="B16">
        <v>23.634499999999999</v>
      </c>
      <c r="C16">
        <v>-102.5528</v>
      </c>
      <c r="D16">
        <v>93</v>
      </c>
      <c r="E16">
        <v>0</v>
      </c>
      <c r="F16">
        <v>4</v>
      </c>
      <c r="G16">
        <v>0</v>
      </c>
      <c r="H16">
        <v>11</v>
      </c>
      <c r="I16">
        <v>0.134146341463414</v>
      </c>
      <c r="J16">
        <v>0</v>
      </c>
      <c r="L16">
        <v>0</v>
      </c>
      <c r="M16">
        <v>0</v>
      </c>
      <c r="N16">
        <v>1.1341463414634101</v>
      </c>
    </row>
    <row r="17" spans="1:15" x14ac:dyDescent="0.25">
      <c r="A17" s="1">
        <v>43909</v>
      </c>
      <c r="B17">
        <v>23.634499999999999</v>
      </c>
      <c r="C17">
        <v>-102.5528</v>
      </c>
      <c r="D17">
        <v>118</v>
      </c>
      <c r="E17">
        <v>1</v>
      </c>
      <c r="F17">
        <v>4</v>
      </c>
      <c r="G17">
        <v>8.4745762711864406E-3</v>
      </c>
      <c r="H17">
        <v>25</v>
      </c>
      <c r="I17">
        <v>0.26881720430107497</v>
      </c>
      <c r="J17">
        <v>1</v>
      </c>
      <c r="K17" t="s">
        <v>15</v>
      </c>
      <c r="L17">
        <v>0</v>
      </c>
      <c r="M17">
        <v>0</v>
      </c>
      <c r="N17">
        <v>1.2688172043010699</v>
      </c>
      <c r="O17" t="s">
        <v>15</v>
      </c>
    </row>
    <row r="18" spans="1:15" x14ac:dyDescent="0.25">
      <c r="A18" s="1">
        <v>43910</v>
      </c>
      <c r="B18">
        <v>23.634499999999999</v>
      </c>
      <c r="C18">
        <v>-102.5528</v>
      </c>
      <c r="D18">
        <v>164</v>
      </c>
      <c r="E18">
        <v>1</v>
      </c>
      <c r="F18">
        <v>4</v>
      </c>
      <c r="G18">
        <v>6.0975609756097502E-3</v>
      </c>
      <c r="H18">
        <v>46</v>
      </c>
      <c r="I18">
        <v>0.38983050847457601</v>
      </c>
      <c r="J18">
        <v>0</v>
      </c>
      <c r="K18">
        <v>0</v>
      </c>
      <c r="L18">
        <v>0</v>
      </c>
      <c r="M18">
        <v>0</v>
      </c>
      <c r="N18">
        <v>1.3898305084745699</v>
      </c>
      <c r="O18">
        <v>1</v>
      </c>
    </row>
  </sheetData>
  <autoFilter ref="A1:O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"/>
  <sheetViews>
    <sheetView tabSelected="1" topLeftCell="A11" zoomScale="85" zoomScaleNormal="85" workbookViewId="0">
      <selection activeCell="C1" sqref="C1"/>
    </sheetView>
  </sheetViews>
  <sheetFormatPr baseColWidth="10" defaultRowHeight="15" x14ac:dyDescent="0.25"/>
  <cols>
    <col min="6" max="6" width="11.5703125" bestFit="1" customWidth="1"/>
    <col min="11" max="11" width="14.5703125" bestFit="1" customWidth="1"/>
    <col min="12" max="12" width="11.85546875" bestFit="1" customWidth="1"/>
  </cols>
  <sheetData>
    <row r="1" spans="1:12" x14ac:dyDescent="0.25">
      <c r="A1" s="4" t="s">
        <v>16</v>
      </c>
      <c r="B1" s="4" t="s">
        <v>0</v>
      </c>
      <c r="C1" s="4" t="s">
        <v>3</v>
      </c>
      <c r="D1" s="4" t="s">
        <v>17</v>
      </c>
      <c r="E1" s="4" t="s">
        <v>18</v>
      </c>
      <c r="F1" s="4" t="s">
        <v>22</v>
      </c>
      <c r="G1" s="4" t="s">
        <v>24</v>
      </c>
      <c r="K1" t="s">
        <v>19</v>
      </c>
      <c r="L1">
        <v>1.2562320996579357</v>
      </c>
    </row>
    <row r="2" spans="1:12" x14ac:dyDescent="0.25">
      <c r="A2" s="2">
        <f>+B2+1-$B$2</f>
        <v>1</v>
      </c>
      <c r="B2" s="1">
        <v>43889</v>
      </c>
      <c r="C2">
        <v>1</v>
      </c>
      <c r="F2">
        <f>+C2</f>
        <v>1</v>
      </c>
      <c r="G2">
        <f>+(F2-C2)^2</f>
        <v>0</v>
      </c>
      <c r="K2" t="s">
        <v>20</v>
      </c>
      <c r="L2">
        <v>1.2562320996455578</v>
      </c>
    </row>
    <row r="3" spans="1:12" x14ac:dyDescent="0.25">
      <c r="A3" s="2">
        <f t="shared" ref="A3:A18" si="0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>
        <f>+$F$2*$L$2^A3</f>
        <v>1.5781190881798868</v>
      </c>
      <c r="G3">
        <f>+(F3-C3)^2</f>
        <v>5.8655071510386243</v>
      </c>
      <c r="L3">
        <f>+MEDIAN(E3:E18)</f>
        <v>1.2594086021505375</v>
      </c>
    </row>
    <row r="4" spans="1:12" x14ac:dyDescent="0.25">
      <c r="A4" s="2">
        <f t="shared" si="0"/>
        <v>3</v>
      </c>
      <c r="B4" s="1">
        <v>43891</v>
      </c>
      <c r="C4">
        <v>5</v>
      </c>
      <c r="D4">
        <f t="shared" ref="D4:D18" si="1">+C4-C3</f>
        <v>1</v>
      </c>
      <c r="E4">
        <f t="shared" ref="E4:E18" si="2">+C4/C3</f>
        <v>1.25</v>
      </c>
      <c r="F4">
        <f>+$F$2*$L$2^A4</f>
        <v>1.9824838556349524</v>
      </c>
      <c r="G4">
        <f>+(F4-C4)^2</f>
        <v>9.1054036815037023</v>
      </c>
    </row>
    <row r="5" spans="1:12" x14ac:dyDescent="0.25">
      <c r="A5" s="2">
        <f t="shared" si="0"/>
        <v>5</v>
      </c>
      <c r="B5" s="1">
        <v>43893</v>
      </c>
      <c r="C5">
        <v>5</v>
      </c>
      <c r="D5">
        <f t="shared" si="1"/>
        <v>0</v>
      </c>
      <c r="E5">
        <f t="shared" si="2"/>
        <v>1</v>
      </c>
      <c r="F5">
        <f>+$F$2*$L$2^A5</f>
        <v>3.128595614585977</v>
      </c>
      <c r="G5">
        <f>+(F5-C5)^2</f>
        <v>3.502154373746837</v>
      </c>
    </row>
    <row r="6" spans="1:12" x14ac:dyDescent="0.25">
      <c r="A6" s="2">
        <f t="shared" si="0"/>
        <v>8</v>
      </c>
      <c r="B6" s="1">
        <v>43896</v>
      </c>
      <c r="C6">
        <v>6</v>
      </c>
      <c r="D6">
        <f t="shared" si="1"/>
        <v>1</v>
      </c>
      <c r="E6">
        <f t="shared" si="2"/>
        <v>1.2</v>
      </c>
      <c r="F6">
        <f>+$F$2*$L$2^A6</f>
        <v>6.2023902967270113</v>
      </c>
      <c r="G6">
        <f>+(F6-C6)^2</f>
        <v>4.0961832209247664E-2</v>
      </c>
    </row>
    <row r="7" spans="1:12" x14ac:dyDescent="0.25">
      <c r="A7" s="2">
        <f t="shared" si="0"/>
        <v>10</v>
      </c>
      <c r="B7" s="1">
        <v>43898</v>
      </c>
      <c r="C7">
        <v>7</v>
      </c>
      <c r="D7">
        <f t="shared" si="1"/>
        <v>1</v>
      </c>
      <c r="E7">
        <f t="shared" si="2"/>
        <v>1.1666666666666667</v>
      </c>
      <c r="F7">
        <f>+$F$2*$L$2^A7</f>
        <v>9.7881105196066081</v>
      </c>
      <c r="G7">
        <f>+(F7-C7)^2</f>
        <v>7.7735602695410302</v>
      </c>
    </row>
    <row r="8" spans="1:12" x14ac:dyDescent="0.25">
      <c r="A8" s="2">
        <f t="shared" si="0"/>
        <v>12</v>
      </c>
      <c r="B8" s="1">
        <v>43900</v>
      </c>
      <c r="C8">
        <v>7</v>
      </c>
      <c r="D8">
        <f t="shared" si="1"/>
        <v>0</v>
      </c>
      <c r="E8">
        <f t="shared" si="2"/>
        <v>1</v>
      </c>
      <c r="F8">
        <f>+$F$2*$L$2^A8</f>
        <v>15.446804048205538</v>
      </c>
      <c r="G8">
        <f>+(F8-C8)^2</f>
        <v>71.348498628781456</v>
      </c>
    </row>
    <row r="9" spans="1:12" x14ac:dyDescent="0.25">
      <c r="A9" s="2">
        <f t="shared" si="0"/>
        <v>13</v>
      </c>
      <c r="B9" s="1">
        <v>43901</v>
      </c>
      <c r="C9">
        <v>8</v>
      </c>
      <c r="D9">
        <f t="shared" si="1"/>
        <v>1</v>
      </c>
      <c r="E9">
        <f t="shared" si="2"/>
        <v>1.1428571428571428</v>
      </c>
      <c r="F9">
        <f>+$F$2*$L$2^A9</f>
        <v>19.404771082290743</v>
      </c>
      <c r="G9">
        <f>+(F9-C9)^2</f>
        <v>130.06880343945517</v>
      </c>
    </row>
    <row r="10" spans="1:12" x14ac:dyDescent="0.25">
      <c r="A10" s="2">
        <f t="shared" si="0"/>
        <v>14</v>
      </c>
      <c r="B10" s="1">
        <v>43902</v>
      </c>
      <c r="C10">
        <v>12</v>
      </c>
      <c r="D10">
        <f t="shared" si="1"/>
        <v>4</v>
      </c>
      <c r="E10">
        <f t="shared" si="2"/>
        <v>1.5</v>
      </c>
      <c r="F10">
        <f>+$F$2*$L$2^A10</f>
        <v>24.376896319847507</v>
      </c>
      <c r="G10">
        <f>+(F10-C10)^2</f>
        <v>153.18756251225477</v>
      </c>
    </row>
    <row r="11" spans="1:12" x14ac:dyDescent="0.25">
      <c r="A11" s="2">
        <f t="shared" si="0"/>
        <v>15</v>
      </c>
      <c r="B11" s="1">
        <v>43903</v>
      </c>
      <c r="C11">
        <v>12</v>
      </c>
      <c r="D11">
        <f t="shared" si="1"/>
        <v>0</v>
      </c>
      <c r="E11">
        <f t="shared" si="2"/>
        <v>1</v>
      </c>
      <c r="F11">
        <f>+$F$2*$L$2^A11</f>
        <v>30.623039646724106</v>
      </c>
      <c r="G11">
        <f>+(F11-C11)^2</f>
        <v>346.81760568345788</v>
      </c>
    </row>
    <row r="12" spans="1:12" x14ac:dyDescent="0.25">
      <c r="A12" s="2">
        <f t="shared" si="0"/>
        <v>16</v>
      </c>
      <c r="B12" s="1">
        <v>43904</v>
      </c>
      <c r="C12">
        <v>26</v>
      </c>
      <c r="D12">
        <f t="shared" si="1"/>
        <v>14</v>
      </c>
      <c r="E12">
        <f t="shared" si="2"/>
        <v>2.1666666666666665</v>
      </c>
      <c r="F12">
        <f>+$F$2*$L$2^A12</f>
        <v>38.46964539293338</v>
      </c>
      <c r="G12">
        <f>+(F12-C12)^2</f>
        <v>155.49205622550465</v>
      </c>
    </row>
    <row r="13" spans="1:12" x14ac:dyDescent="0.25">
      <c r="A13" s="2">
        <f t="shared" si="0"/>
        <v>17</v>
      </c>
      <c r="B13" s="1">
        <v>43905</v>
      </c>
      <c r="C13">
        <v>41</v>
      </c>
      <c r="D13">
        <f t="shared" si="1"/>
        <v>15</v>
      </c>
      <c r="E13">
        <f t="shared" si="2"/>
        <v>1.5769230769230769</v>
      </c>
      <c r="F13">
        <f>+$F$2*$L$2^A13</f>
        <v>48.326803404584759</v>
      </c>
      <c r="G13">
        <f>+(F13-C13)^2</f>
        <v>53.682048129434811</v>
      </c>
    </row>
    <row r="14" spans="1:12" x14ac:dyDescent="0.25">
      <c r="A14" s="2">
        <f t="shared" si="0"/>
        <v>18</v>
      </c>
      <c r="B14" s="1">
        <v>43906</v>
      </c>
      <c r="C14">
        <v>53</v>
      </c>
      <c r="D14">
        <f t="shared" si="1"/>
        <v>12</v>
      </c>
      <c r="E14">
        <f t="shared" si="2"/>
        <v>1.2926829268292683</v>
      </c>
      <c r="F14">
        <f>+$F$2*$L$2^A14</f>
        <v>60.709681710099609</v>
      </c>
      <c r="G14">
        <f>+(F14-C14)^2</f>
        <v>59.439192071044431</v>
      </c>
    </row>
    <row r="15" spans="1:12" x14ac:dyDescent="0.25">
      <c r="A15" s="2">
        <f t="shared" si="0"/>
        <v>19</v>
      </c>
      <c r="B15" s="1">
        <v>43907</v>
      </c>
      <c r="C15">
        <v>82</v>
      </c>
      <c r="D15">
        <f t="shared" si="1"/>
        <v>29</v>
      </c>
      <c r="E15">
        <f t="shared" si="2"/>
        <v>1.5471698113207548</v>
      </c>
      <c r="F15">
        <f>+$F$2*$L$2^A15</f>
        <v>76.265450923491954</v>
      </c>
      <c r="G15">
        <f>+(F15-C15)^2</f>
        <v>32.885053110879277</v>
      </c>
    </row>
    <row r="16" spans="1:12" x14ac:dyDescent="0.25">
      <c r="A16" s="2">
        <f t="shared" si="0"/>
        <v>20</v>
      </c>
      <c r="B16" s="1">
        <v>43908</v>
      </c>
      <c r="C16">
        <v>93</v>
      </c>
      <c r="D16">
        <f t="shared" si="1"/>
        <v>11</v>
      </c>
      <c r="E16">
        <f t="shared" si="2"/>
        <v>1.1341463414634145</v>
      </c>
      <c r="F16">
        <f>+$F$2*$L$2^A16</f>
        <v>95.807107544033542</v>
      </c>
      <c r="G16">
        <f>+(F16-C16)^2</f>
        <v>7.8798527637700237</v>
      </c>
    </row>
    <row r="17" spans="1:7" x14ac:dyDescent="0.25">
      <c r="A17" s="2">
        <f t="shared" si="0"/>
        <v>21</v>
      </c>
      <c r="B17" s="1">
        <v>43909</v>
      </c>
      <c r="C17">
        <v>118</v>
      </c>
      <c r="D17">
        <f t="shared" si="1"/>
        <v>25</v>
      </c>
      <c r="E17">
        <f t="shared" si="2"/>
        <v>1.2688172043010753</v>
      </c>
      <c r="F17">
        <f>+$F$2*$L$2^A17</f>
        <v>120.35596387100901</v>
      </c>
      <c r="G17">
        <f>+(F17-C17)^2</f>
        <v>5.5505657614997581</v>
      </c>
    </row>
    <row r="18" spans="1:7" x14ac:dyDescent="0.25">
      <c r="A18" s="2">
        <f t="shared" si="0"/>
        <v>22</v>
      </c>
      <c r="B18" s="1">
        <v>43910</v>
      </c>
      <c r="C18">
        <v>164</v>
      </c>
      <c r="D18">
        <f t="shared" si="1"/>
        <v>46</v>
      </c>
      <c r="E18">
        <f t="shared" si="2"/>
        <v>1.3898305084745763</v>
      </c>
      <c r="F18">
        <f>+$F$2*$L$2^A18</f>
        <v>151.19502519854257</v>
      </c>
      <c r="G18">
        <f>+(F18-C18)^2</f>
        <v>163.96737966595984</v>
      </c>
    </row>
    <row r="21" spans="1:7" ht="30" x14ac:dyDescent="0.25">
      <c r="F21" s="5" t="s">
        <v>25</v>
      </c>
      <c r="G21" s="6">
        <f>+SQRT(SUM(G2:G18))</f>
        <v>34.736237638812895</v>
      </c>
    </row>
    <row r="24" spans="1:7" x14ac:dyDescent="0.25">
      <c r="A24" t="s">
        <v>21</v>
      </c>
      <c r="C24" t="s">
        <v>23</v>
      </c>
      <c r="F24" t="s">
        <v>22</v>
      </c>
    </row>
    <row r="25" spans="1:7" x14ac:dyDescent="0.25">
      <c r="A25">
        <v>23</v>
      </c>
      <c r="B25" s="1">
        <f>+$B$2+A25-1</f>
        <v>43911</v>
      </c>
      <c r="F25" s="3">
        <f>+$F$2*$L$2^A25</f>
        <v>189.93604396112815</v>
      </c>
    </row>
    <row r="26" spans="1:7" x14ac:dyDescent="0.25">
      <c r="A26">
        <v>24</v>
      </c>
      <c r="B26" s="1">
        <f t="shared" ref="B26:B54" si="3">+$B$2+A26-1</f>
        <v>43912</v>
      </c>
      <c r="F26" s="3">
        <f>+$F$2*$L$2^A26</f>
        <v>238.60375530365897</v>
      </c>
    </row>
    <row r="27" spans="1:7" x14ac:dyDescent="0.25">
      <c r="A27">
        <v>25</v>
      </c>
      <c r="B27" s="1">
        <f t="shared" si="3"/>
        <v>43913</v>
      </c>
      <c r="F27" s="3">
        <f>+$F$2*$L$2^A27</f>
        <v>299.74169650843038</v>
      </c>
    </row>
    <row r="28" spans="1:7" x14ac:dyDescent="0.25">
      <c r="A28">
        <v>26</v>
      </c>
      <c r="B28" s="1">
        <f t="shared" si="3"/>
        <v>43914</v>
      </c>
      <c r="F28" s="3">
        <f>+$F$2*$L$2^A28</f>
        <v>376.54514075610712</v>
      </c>
    </row>
    <row r="29" spans="1:7" x14ac:dyDescent="0.25">
      <c r="A29">
        <v>27</v>
      </c>
      <c r="B29" s="1">
        <f t="shared" si="3"/>
        <v>43915</v>
      </c>
      <c r="F29" s="3">
        <f>+$F$2*$L$2^A29</f>
        <v>473.02809278337656</v>
      </c>
    </row>
    <row r="30" spans="1:7" x14ac:dyDescent="0.25">
      <c r="A30">
        <v>28</v>
      </c>
      <c r="B30" s="1">
        <f t="shared" si="3"/>
        <v>43916</v>
      </c>
      <c r="F30" s="3">
        <f>+$F$2*$L$2^A30</f>
        <v>594.23307418859486</v>
      </c>
    </row>
    <row r="31" spans="1:7" x14ac:dyDescent="0.25">
      <c r="A31">
        <v>29</v>
      </c>
      <c r="B31" s="1">
        <f t="shared" si="3"/>
        <v>43917</v>
      </c>
      <c r="F31" s="3">
        <f>+$F$2*$L$2^A31</f>
        <v>746.49466246677298</v>
      </c>
    </row>
    <row r="32" spans="1:7" x14ac:dyDescent="0.25">
      <c r="A32">
        <v>30</v>
      </c>
      <c r="B32" s="1">
        <f t="shared" si="3"/>
        <v>43918</v>
      </c>
      <c r="F32" s="3">
        <f>+$F$2*$L$2^A32</f>
        <v>937.77055720483634</v>
      </c>
    </row>
    <row r="33" spans="1:6" x14ac:dyDescent="0.25">
      <c r="A33">
        <v>31</v>
      </c>
      <c r="B33" s="1">
        <f t="shared" si="3"/>
        <v>43919</v>
      </c>
      <c r="F33" s="3">
        <f>+$F$2*$L$2^A33</f>
        <v>1178.0574760632162</v>
      </c>
    </row>
    <row r="34" spans="1:6" x14ac:dyDescent="0.25">
      <c r="A34">
        <v>32</v>
      </c>
      <c r="B34" s="1">
        <f t="shared" si="3"/>
        <v>43920</v>
      </c>
      <c r="F34" s="3">
        <f>+$F$2*$L$2^A34</f>
        <v>1479.9136166580404</v>
      </c>
    </row>
    <row r="35" spans="1:6" x14ac:dyDescent="0.25">
      <c r="A35">
        <v>33</v>
      </c>
      <c r="B35" s="1">
        <f t="shared" si="3"/>
        <v>43921</v>
      </c>
      <c r="F35" s="3">
        <f>+$F$2*$L$2^A35</f>
        <v>1859.1149899483812</v>
      </c>
    </row>
    <row r="36" spans="1:6" x14ac:dyDescent="0.25">
      <c r="A36">
        <v>34</v>
      </c>
      <c r="B36" s="1">
        <f t="shared" si="3"/>
        <v>43922</v>
      </c>
      <c r="F36" s="3">
        <f>+$F$2*$L$2^A36</f>
        <v>2335.479927305385</v>
      </c>
    </row>
    <row r="37" spans="1:6" x14ac:dyDescent="0.25">
      <c r="A37">
        <v>35</v>
      </c>
      <c r="B37" s="1">
        <f t="shared" si="3"/>
        <v>43923</v>
      </c>
      <c r="F37" s="3">
        <f>+$F$2*$L$2^A37</f>
        <v>2933.9048527588989</v>
      </c>
    </row>
    <row r="38" spans="1:6" x14ac:dyDescent="0.25">
      <c r="A38">
        <v>36</v>
      </c>
      <c r="B38" s="1">
        <f t="shared" si="3"/>
        <v>43924</v>
      </c>
      <c r="F38" s="3">
        <f>+$F$2*$L$2^A38</f>
        <v>3685.6654533416026</v>
      </c>
    </row>
    <row r="39" spans="1:6" x14ac:dyDescent="0.25">
      <c r="A39">
        <v>37</v>
      </c>
      <c r="B39" s="1">
        <f t="shared" si="3"/>
        <v>43925</v>
      </c>
      <c r="F39" s="3">
        <f>+$F$2*$L$2^A39</f>
        <v>4630.0512510424178</v>
      </c>
    </row>
    <row r="40" spans="1:6" x14ac:dyDescent="0.25">
      <c r="A40">
        <v>38</v>
      </c>
      <c r="B40" s="1">
        <f t="shared" si="3"/>
        <v>43926</v>
      </c>
      <c r="F40" s="3">
        <f>+$F$2*$L$2^A40</f>
        <v>5816.4190045635587</v>
      </c>
    </row>
    <row r="41" spans="1:6" x14ac:dyDescent="0.25">
      <c r="A41">
        <v>39</v>
      </c>
      <c r="B41" s="1">
        <f t="shared" si="3"/>
        <v>43927</v>
      </c>
      <c r="F41" s="3">
        <f>+$F$2*$L$2^A41</f>
        <v>7306.772258521205</v>
      </c>
    </row>
    <row r="42" spans="1:6" x14ac:dyDescent="0.25">
      <c r="A42">
        <v>40</v>
      </c>
      <c r="B42" s="1">
        <f t="shared" si="3"/>
        <v>43928</v>
      </c>
      <c r="F42" s="3">
        <f>+$F$2*$L$2^A42</f>
        <v>9179.0018559540076</v>
      </c>
    </row>
    <row r="43" spans="1:6" x14ac:dyDescent="0.25">
      <c r="A43">
        <v>41</v>
      </c>
      <c r="B43" s="1">
        <f t="shared" si="3"/>
        <v>43929</v>
      </c>
      <c r="F43" s="3">
        <f>+$F$2*$L$2^A43</f>
        <v>11530.956774155575</v>
      </c>
    </row>
    <row r="44" spans="1:6" x14ac:dyDescent="0.25">
      <c r="A44">
        <v>42</v>
      </c>
      <c r="B44" s="1">
        <f t="shared" si="3"/>
        <v>43930</v>
      </c>
      <c r="F44" s="3">
        <f>+$F$2*$L$2^A44</f>
        <v>14485.558039319627</v>
      </c>
    </row>
    <row r="45" spans="1:6" x14ac:dyDescent="0.25">
      <c r="A45">
        <v>43</v>
      </c>
      <c r="B45" s="1">
        <f t="shared" si="3"/>
        <v>43931</v>
      </c>
      <c r="F45" s="3">
        <f>+$F$2*$L$2^A45</f>
        <v>18197.222990272083</v>
      </c>
    </row>
    <row r="46" spans="1:6" x14ac:dyDescent="0.25">
      <c r="A46">
        <v>44</v>
      </c>
      <c r="B46" s="1">
        <f t="shared" si="3"/>
        <v>43932</v>
      </c>
      <c r="F46" s="3">
        <f>+$F$2*$L$2^A46</f>
        <v>22859.935644787914</v>
      </c>
    </row>
    <row r="47" spans="1:6" x14ac:dyDescent="0.25">
      <c r="A47">
        <v>45</v>
      </c>
      <c r="B47" s="1">
        <f t="shared" si="3"/>
        <v>43933</v>
      </c>
      <c r="F47" s="3">
        <f>+$F$2*$L$2^A47</f>
        <v>28717.384952814249</v>
      </c>
    </row>
    <row r="48" spans="1:6" x14ac:dyDescent="0.25">
      <c r="A48">
        <v>46</v>
      </c>
      <c r="B48" s="1">
        <f t="shared" si="3"/>
        <v>43934</v>
      </c>
      <c r="F48" s="3">
        <f>+$F$2*$L$2^A48</f>
        <v>36075.700795603596</v>
      </c>
    </row>
    <row r="49" spans="1:6" x14ac:dyDescent="0.25">
      <c r="A49">
        <v>47</v>
      </c>
      <c r="B49" s="1">
        <f t="shared" si="3"/>
        <v>43935</v>
      </c>
      <c r="F49" s="3">
        <f>+$F$2*$L$2^A49</f>
        <v>45319.45335664603</v>
      </c>
    </row>
    <row r="50" spans="1:6" x14ac:dyDescent="0.25">
      <c r="A50">
        <v>48</v>
      </c>
      <c r="B50" s="1">
        <f t="shared" si="3"/>
        <v>43936</v>
      </c>
      <c r="F50" s="3">
        <f>+$F$2*$L$2^A50</f>
        <v>56931.752045008361</v>
      </c>
    </row>
    <row r="51" spans="1:6" x14ac:dyDescent="0.25">
      <c r="A51">
        <v>49</v>
      </c>
      <c r="B51" s="1">
        <f t="shared" si="3"/>
        <v>43937</v>
      </c>
      <c r="F51" s="3">
        <f>+$F$2*$L$2^A51</f>
        <v>71519.494408001134</v>
      </c>
    </row>
    <row r="52" spans="1:6" x14ac:dyDescent="0.25">
      <c r="A52">
        <v>50</v>
      </c>
      <c r="B52" s="1">
        <f t="shared" si="3"/>
        <v>43938</v>
      </c>
      <c r="F52" s="3">
        <f>+$F$2*$L$2^A52</f>
        <v>89845.084625752002</v>
      </c>
    </row>
    <row r="53" spans="1:6" x14ac:dyDescent="0.25">
      <c r="A53">
        <v>51</v>
      </c>
      <c r="B53" s="1">
        <f t="shared" si="3"/>
        <v>43939</v>
      </c>
      <c r="F53" s="3">
        <f>+$F$2*$L$2^A53</f>
        <v>112866.27930224127</v>
      </c>
    </row>
    <row r="54" spans="1:6" x14ac:dyDescent="0.25">
      <c r="A54">
        <v>52</v>
      </c>
      <c r="B54" s="1">
        <f t="shared" si="3"/>
        <v>43940</v>
      </c>
      <c r="F54" s="3">
        <f>+$F$2*$L$2^A54</f>
        <v>141786.24302703651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mexico</vt:lpstr>
      <vt:lpstr>Pronósticos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Nieto Loya</cp:lastModifiedBy>
  <dcterms:created xsi:type="dcterms:W3CDTF">2020-03-21T20:53:13Z</dcterms:created>
  <dcterms:modified xsi:type="dcterms:W3CDTF">2020-03-22T01:40:39Z</dcterms:modified>
</cp:coreProperties>
</file>